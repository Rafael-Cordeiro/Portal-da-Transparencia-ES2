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bookViews>
    <workbookView xWindow="0" yWindow="0" windowWidth="24000" windowHeight="9735"/>
  </bookViews>
  <sheets>
    <sheet name="Sprint -1" sheetId="1" r:id="rId1"/>
  </sheets>
  <definedNames>
    <definedName name="Restante">OFFSET('Sprint -1'!$B$8,0,0,1,COUNT('Sprint -1'!$B$8:$I$8))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C9" i="1" s="1"/>
  <c r="D9" i="1" s="1"/>
  <c r="E9" i="1" s="1"/>
  <c r="F9" i="1" s="1"/>
  <c r="G9" i="1" s="1"/>
  <c r="H9" i="1" s="1"/>
  <c r="I9" i="1" s="1"/>
  <c r="B8" i="1"/>
  <c r="C8" i="1" l="1"/>
  <c r="D8" i="1" s="1"/>
  <c r="E8" i="1" s="1"/>
  <c r="F8" i="1" s="1"/>
  <c r="G8" i="1" s="1"/>
  <c r="H8" i="1" s="1"/>
  <c r="I8" i="1" s="1"/>
  <c r="D11" i="1" l="1"/>
</calcChain>
</file>

<file path=xl/sharedStrings.xml><?xml version="1.0" encoding="utf-8"?>
<sst xmlns="http://schemas.openxmlformats.org/spreadsheetml/2006/main" count="16" uniqueCount="16">
  <si>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</si>
  <si>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</si>
  <si>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</si>
  <si>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</si>
  <si>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</si>
  <si>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</si>
  <si>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</si>
  <si>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</si>
  <si>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</si>
  <si>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</si>
  <si>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Configurar Trello e Github</t>
  </si>
  <si>
    <t>Montar Pesquisa</t>
  </si>
  <si>
    <t>Coletar Dados da Pesquisa</t>
  </si>
  <si>
    <t>Diagrama de Caso de Uso</t>
  </si>
  <si>
    <t>Documentação do Negócio</t>
  </si>
  <si>
    <t>Confecção Burndown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</si>
</sst>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2" xfId="0" applyFont="1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1" fillId="0" borderId="5" xfId="0" applyFont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-1'!$A$8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'Sprint -1'!$B$1:$I$1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12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'Sprint -1'!$A$9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'Sprint -1'!$B$1:$I$1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'Sprint -1'!$B$9:$I$9</c:f>
              <c:numCache>
                <c:formatCode>General</c:formatCode>
                <c:ptCount val="8"/>
                <c:pt idx="0">
                  <c:v>12</c:v>
                </c:pt>
                <c:pt idx="1">
                  <c:v>10.285714285714286</c:v>
                </c:pt>
                <c:pt idx="2">
                  <c:v>8.571428571428573</c:v>
                </c:pt>
                <c:pt idx="3">
                  <c:v>6.8571428571428585</c:v>
                </c:pt>
                <c:pt idx="4">
                  <c:v>5.1428571428571441</c:v>
                </c:pt>
                <c:pt idx="5">
                  <c:v>3.4285714285714297</c:v>
                </c:pt>
                <c:pt idx="6">
                  <c:v>1.7142857142857155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8671304"/>
        <c:axId val="388670912"/>
      </c:lineChart>
      <c:catAx>
        <c:axId val="388671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8670912"/>
        <c:crosses val="autoZero"/>
        <c:auto val="1"/>
        <c:lblAlgn val="ctr"/>
        <c:lblOffset val="100"/>
        <c:noMultiLvlLbl val="0"/>
      </c:catAx>
      <c:valAx>
        <c:axId val="388670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867130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9525</xdr:rowOff>
    </xdr:from>
    <xdr:to>
      <xdr:col>15</xdr:col>
      <xdr:colOff>419099</xdr:colOff>
      <xdr:row>9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showGridLines="0" tabSelected="1" workbookViewId="0">
      <selection activeCell="E12" sqref="E12"/>
    </sheetView>
  </sheetViews>
  <sheetFormatPr defaultRowHeight="15" x14ac:dyDescent="0.25"/>
  <cols>
    <col min="1" max="1" width="24" bestFit="1" customWidth="1"/>
    <col min="2" max="2" width="12.85546875" bestFit="1" customWidth="1"/>
    <col min="3" max="8" width="11.85546875" bestFit="1" customWidth="1"/>
    <col min="9" max="9" width="8" bestFit="1" customWidth="1"/>
  </cols>
  <sheetData>
    <row r="1" spans="1:9" x14ac:dyDescent="0.25">
      <c r="B1" s="7" t="s">
        <v>7</v>
      </c>
      <c r="C1" s="8" t="s">
        <v>0</v>
      </c>
      <c r="D1" s="8" t="s">
        <v>1</v>
      </c>
      <c r="E1" s="8" t="s">
        <v>2</v>
      </c>
      <c r="F1" s="8" t="s">
        <v>3</v>
      </c>
      <c r="G1" s="8" t="s">
        <v>4</v>
      </c>
      <c r="H1" s="8" t="s">
        <v>5</v>
      </c>
      <c r="I1" s="8" t="s">
        <v>6</v>
      </c>
    </row>
    <row r="2" spans="1:9" x14ac:dyDescent="0.25">
      <c r="A2" s="4" t="s">
        <v>10</v>
      </c>
      <c r="B2" s="5">
        <v>2</v>
      </c>
      <c r="C2" s="5">
        <v>1</v>
      </c>
      <c r="D2" s="5"/>
      <c r="E2" s="5">
        <v>1</v>
      </c>
      <c r="F2" s="5"/>
      <c r="G2" s="5"/>
      <c r="H2" s="5"/>
      <c r="I2" s="5"/>
    </row>
    <row r="3" spans="1:9" x14ac:dyDescent="0.25">
      <c r="A3" s="6" t="s">
        <v>11</v>
      </c>
      <c r="B3" s="1">
        <v>1</v>
      </c>
      <c r="C3" s="1"/>
      <c r="D3" s="1">
        <v>1</v>
      </c>
      <c r="E3" s="1"/>
      <c r="F3" s="1"/>
      <c r="G3" s="1"/>
      <c r="H3" s="1"/>
      <c r="I3" s="1"/>
    </row>
    <row r="4" spans="1:9" x14ac:dyDescent="0.25">
      <c r="A4" s="6" t="s">
        <v>12</v>
      </c>
      <c r="B4" s="1">
        <v>1</v>
      </c>
      <c r="C4" s="1"/>
      <c r="D4" s="1"/>
      <c r="E4" s="1"/>
      <c r="F4" s="1">
        <v>1</v>
      </c>
      <c r="G4" s="1"/>
      <c r="H4" s="1"/>
      <c r="I4" s="1"/>
    </row>
    <row r="5" spans="1:9" x14ac:dyDescent="0.25">
      <c r="A5" s="6" t="s">
        <v>13</v>
      </c>
      <c r="B5" s="1">
        <v>2</v>
      </c>
      <c r="C5" s="1">
        <v>2</v>
      </c>
      <c r="D5" s="1"/>
      <c r="E5" s="1"/>
      <c r="F5" s="1"/>
      <c r="G5" s="1"/>
      <c r="H5" s="1"/>
      <c r="I5" s="1"/>
    </row>
    <row r="6" spans="1:9" x14ac:dyDescent="0.25">
      <c r="A6" s="6" t="s">
        <v>14</v>
      </c>
      <c r="B6" s="1">
        <v>5</v>
      </c>
      <c r="C6" s="1"/>
      <c r="D6" s="1"/>
      <c r="E6" s="1">
        <v>1</v>
      </c>
      <c r="F6" s="1">
        <v>1</v>
      </c>
      <c r="G6" s="1">
        <v>1</v>
      </c>
      <c r="H6" s="1">
        <v>1</v>
      </c>
      <c r="I6" s="1">
        <v>1</v>
      </c>
    </row>
    <row r="7" spans="1:9" x14ac:dyDescent="0.25">
      <c r="A7" s="6" t="s">
        <v>15</v>
      </c>
      <c r="B7" s="1">
        <v>1</v>
      </c>
      <c r="C7" s="1"/>
      <c r="D7" s="1"/>
      <c r="E7" s="1"/>
      <c r="F7" s="1"/>
      <c r="G7" s="1"/>
      <c r="I7" s="1">
        <v>1</v>
      </c>
    </row>
    <row r="8" spans="1:9" x14ac:dyDescent="0.25">
      <c r="A8" s="2" t="s">
        <v>8</v>
      </c>
      <c r="B8" s="3">
        <f>SUM($B$2:$B$7)</f>
        <v>12</v>
      </c>
      <c r="C8" s="3">
        <f>IF(SUM(C2:C7)&gt;0,B8-SUM(C2:C7),"")</f>
        <v>9</v>
      </c>
      <c r="D8" s="3">
        <f>IF(SUM(D2:D7)&gt;0,C8-SUM(D2:D7),"")</f>
        <v>8</v>
      </c>
      <c r="E8" s="3">
        <f>IF(SUM(E2:E7)&gt;0,D8-SUM(E2:E7),"")</f>
        <v>6</v>
      </c>
      <c r="F8" s="3">
        <f t="shared" ref="F8:I8" si="0">IF(SUM(F2:F7)&gt;0,E8-SUM(F2:F7),"")</f>
        <v>4</v>
      </c>
      <c r="G8" s="3">
        <f t="shared" si="0"/>
        <v>3</v>
      </c>
      <c r="H8" s="3">
        <f t="shared" si="0"/>
        <v>2</v>
      </c>
      <c r="I8" s="3">
        <f t="shared" si="0"/>
        <v>0</v>
      </c>
    </row>
    <row r="9" spans="1:9" x14ac:dyDescent="0.25">
      <c r="A9" s="2" t="s">
        <v>9</v>
      </c>
      <c r="B9" s="3">
        <f>SUM($B$2:$B$7)</f>
        <v>12</v>
      </c>
      <c r="C9" s="3">
        <f>B9-($B$9/COUNTA($C$1:$I$1))</f>
        <v>10.285714285714286</v>
      </c>
      <c r="D9" s="3">
        <f t="shared" ref="C9:I9" si="1">C9-($B$9/COUNTA($C$1:$I$1))</f>
        <v>8.571428571428573</v>
      </c>
      <c r="E9" s="3">
        <f t="shared" si="1"/>
        <v>6.8571428571428585</v>
      </c>
      <c r="F9" s="3">
        <f t="shared" si="1"/>
        <v>5.1428571428571441</v>
      </c>
      <c r="G9" s="3">
        <f t="shared" si="1"/>
        <v>3.4285714285714297</v>
      </c>
      <c r="H9" s="3">
        <f t="shared" si="1"/>
        <v>1.7142857142857155</v>
      </c>
      <c r="I9" s="3">
        <f t="shared" si="1"/>
        <v>0</v>
      </c>
    </row>
    <row r="11" spans="1:9" x14ac:dyDescent="0.25">
      <c r="D11">
        <f ca="1">OFFSET($C$8:C8,0,COUNTA(D8:I8),1,1)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Sprint -1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Hewlett-Packard Company</cp:lastModifiedBy>
  <cp:lastPrinted>2016-06-19T15:56:58Z</cp:lastPrinted>
  <dcterms:created xsi:type="dcterms:W3CDTF">2016-06-19T15:11:06Z</dcterms:created>
  <dcterms:modified xsi:type="dcterms:W3CDTF">2020-03-09T22:54:49Z</dcterms:modified>
</cp:coreProperties>
</file>