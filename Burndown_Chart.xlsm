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/>
  <mc:AlternateContent xmlns:mc="http://schemas.openxmlformats.org/markup-compatibility/2006">
    <mc:Choice Requires="x15">
      <x15ac:absPath xmlns:x15ac="http://schemas.microsoft.com/office/spreadsheetml/2010/11/ac" url="C:\Users\JUAN\Desktop\SEI LA É FOTO E COISA DA FACUL\"/>
    </mc:Choice>
  </mc:AlternateContent>
  <xr:revisionPtr revIDLastSave="0" documentId="8_{B5527231-9A73-498F-BF89-51E1348B682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ividades" sheetId="1" r:id="rId1"/>
    <sheet name="Burndown impressão color" sheetId="2" state="hidden" r:id="rId2"/>
    <sheet name="Burndown impressão pb" sheetId="3" state="hidden" r:id="rId3"/>
  </sheets>
  <definedNames>
    <definedName name="Restante">OFFSET(Atividades!$B$7,0,0,1,COUNT(Atividades!$B$7:$I$7))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7" i="1" l="1"/>
  <c r="B7" i="1" l="1"/>
  <c r="C7" i="1" s="1"/>
  <c r="B8" i="1" l="1"/>
  <c r="C8" i="1" s="1"/>
  <c r="D8" i="1" s="1"/>
  <c r="E8" i="1" s="1"/>
  <c r="F8" i="1" s="1"/>
  <c r="G8" i="1" s="1"/>
  <c r="H8" i="1" s="1"/>
  <c r="I8" i="1" s="1"/>
  <c r="D7" i="1" l="1"/>
  <c r="E7" i="1" l="1"/>
  <c r="F7" i="1" s="1"/>
  <c r="G7" i="1" s="1"/>
  <c r="H7" i="1" s="1"/>
  <c r="D10" i="1" l="1"/>
</calcChain>
</file>

<file path=xl/sharedStrings.xml><?xml version="1.0" encoding="utf-8"?>
<sst xmlns="http://schemas.openxmlformats.org/spreadsheetml/2006/main" count="15" uniqueCount="15">
  <si>
    <t>Dia 1</t>
  </si>
  <si>
    <t>Dia 2</t>
  </si>
  <si>
    <t>Dia 3</t>
  </si>
  <si>
    <t>Dia 4</t>
  </si>
  <si>
    <t>Dia 5</t>
  </si>
  <si>
    <t>Dia 6</t>
  </si>
  <si>
    <t>Dia 7</t>
  </si>
  <si>
    <t>Total de horas</t>
  </si>
  <si>
    <t>Restante</t>
  </si>
  <si>
    <t>Estimado</t>
  </si>
  <si>
    <t>Pesquisa WebCrawler</t>
  </si>
  <si>
    <t>Atualização do Repositório</t>
  </si>
  <si>
    <t>Atualização Trello</t>
  </si>
  <si>
    <t xml:space="preserve">Ajustes na Documentação </t>
  </si>
  <si>
    <t>Diagrama de casos de uso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</si>
</sst>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2" xfId="0" applyFont="1" applyBorder="1"/>
    <xf numFmtId="0" fontId="0" fillId="0" borderId="2" xfId="0" applyBorder="1"/>
    <xf numFmtId="0" fontId="0" fillId="0" borderId="4" xfId="0" applyBorder="1"/>
    <xf numFmtId="0" fontId="1" fillId="0" borderId="5" xfId="0" applyFont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3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Burndown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Atividades!$A$7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9.5</c:v>
                </c:pt>
                <c:pt idx="1">
                  <c:v>9</c:v>
                </c:pt>
                <c:pt idx="2">
                  <c:v>8</c:v>
                </c:pt>
                <c:pt idx="3">
                  <c:v>6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Atividades!$A$8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Atividades!$B$8:$I$8</c:f>
              <c:numCache>
                <c:formatCode>General</c:formatCode>
                <c:ptCount val="8"/>
                <c:pt idx="0">
                  <c:v>9.5</c:v>
                </c:pt>
                <c:pt idx="1">
                  <c:v>8.1428571428571423</c:v>
                </c:pt>
                <c:pt idx="2">
                  <c:v>6.7857142857142847</c:v>
                </c:pt>
                <c:pt idx="3">
                  <c:v>5.428571428571427</c:v>
                </c:pt>
                <c:pt idx="4">
                  <c:v>4.0714285714285694</c:v>
                </c:pt>
                <c:pt idx="5">
                  <c:v>2.7142857142857122</c:v>
                </c:pt>
                <c:pt idx="6">
                  <c:v>1.357142857142855</c:v>
                </c:pt>
                <c:pt idx="7">
                  <c:v>-2.2204460492503131E-15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Atividades!$A$7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9.5</c:v>
                </c:pt>
                <c:pt idx="1">
                  <c:v>9</c:v>
                </c:pt>
                <c:pt idx="2">
                  <c:v>8</c:v>
                </c:pt>
                <c:pt idx="3">
                  <c:v>6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Atividades!$A$8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Atividades!$B$8:$I$8</c:f>
              <c:numCache>
                <c:formatCode>General</c:formatCode>
                <c:ptCount val="8"/>
                <c:pt idx="0">
                  <c:v>9.5</c:v>
                </c:pt>
                <c:pt idx="1">
                  <c:v>8.1428571428571423</c:v>
                </c:pt>
                <c:pt idx="2">
                  <c:v>6.7857142857142847</c:v>
                </c:pt>
                <c:pt idx="3">
                  <c:v>5.428571428571427</c:v>
                </c:pt>
                <c:pt idx="4">
                  <c:v>4.0714285714285694</c:v>
                </c:pt>
                <c:pt idx="5">
                  <c:v>2.7142857142857122</c:v>
                </c:pt>
                <c:pt idx="6">
                  <c:v>1.357142857142855</c:v>
                </c:pt>
                <c:pt idx="7">
                  <c:v>-2.2204460492503131E-15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Atividades!$A$7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9.5</c:v>
                </c:pt>
                <c:pt idx="1">
                  <c:v>9</c:v>
                </c:pt>
                <c:pt idx="2">
                  <c:v>8</c:v>
                </c:pt>
                <c:pt idx="3">
                  <c:v>6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Atividades!$A$8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Atividades!$B$8:$I$8</c:f>
              <c:numCache>
                <c:formatCode>General</c:formatCode>
                <c:ptCount val="8"/>
                <c:pt idx="0">
                  <c:v>9.5</c:v>
                </c:pt>
                <c:pt idx="1">
                  <c:v>8.1428571428571423</c:v>
                </c:pt>
                <c:pt idx="2">
                  <c:v>6.7857142857142847</c:v>
                </c:pt>
                <c:pt idx="3">
                  <c:v>5.428571428571427</c:v>
                </c:pt>
                <c:pt idx="4">
                  <c:v>4.0714285714285694</c:v>
                </c:pt>
                <c:pt idx="5">
                  <c:v>2.7142857142857122</c:v>
                </c:pt>
                <c:pt idx="6">
                  <c:v>1.357142857142855</c:v>
                </c:pt>
                <c:pt idx="7">
                  <c:v>-2.2204460492503131E-15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9525</xdr:rowOff>
    </xdr:from>
    <xdr:to>
      <xdr:col>15</xdr:col>
      <xdr:colOff>419099</xdr:colOff>
      <xdr:row>9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0"/>
  <sheetViews>
    <sheetView showGridLines="0" tabSelected="1" workbookViewId="0">
      <selection activeCell="H2" sqref="H2"/>
    </sheetView>
  </sheetViews>
  <sheetFormatPr defaultRowHeight="15" x14ac:dyDescent="0.25"/>
  <cols>
    <col min="1" max="1" width="25" bestFit="1" customWidth="1"/>
    <col min="2" max="2" width="13.5703125" bestFit="1" customWidth="1"/>
    <col min="3" max="8" width="12" bestFit="1" customWidth="1"/>
    <col min="9" max="9" width="8.7109375" bestFit="1" customWidth="1"/>
  </cols>
  <sheetData>
    <row r="1" spans="1:9" x14ac:dyDescent="0.25">
      <c r="B1" s="6" t="s">
        <v>7</v>
      </c>
      <c r="C1" s="7" t="s">
        <v>0</v>
      </c>
      <c r="D1" s="7" t="s">
        <v>1</v>
      </c>
      <c r="E1" s="7" t="s">
        <v>2</v>
      </c>
      <c r="F1" s="7" t="s">
        <v>3</v>
      </c>
      <c r="G1" s="7" t="s">
        <v>4</v>
      </c>
      <c r="H1" s="7" t="s">
        <v>5</v>
      </c>
      <c r="I1" s="7" t="s">
        <v>6</v>
      </c>
    </row>
    <row r="2" spans="1:9" x14ac:dyDescent="0.25">
      <c r="A2" s="8" t="s">
        <v>13</v>
      </c>
      <c r="B2" s="4">
        <v>5</v>
      </c>
      <c r="C2" s="4"/>
      <c r="D2" s="4">
        <v>1</v>
      </c>
      <c r="E2" s="1">
        <v>1</v>
      </c>
      <c r="F2" s="1">
        <v>2</v>
      </c>
      <c r="G2" s="1"/>
      <c r="H2" s="1"/>
      <c r="I2" s="4">
        <v>1</v>
      </c>
    </row>
    <row r="3" spans="1:9" x14ac:dyDescent="0.25">
      <c r="A3" s="5" t="s">
        <v>10</v>
      </c>
      <c r="B3" s="1">
        <v>1.5</v>
      </c>
      <c r="C3" s="1"/>
      <c r="D3" s="1"/>
      <c r="E3" s="1">
        <v>1</v>
      </c>
      <c r="F3" s="1"/>
      <c r="G3" s="1">
        <v>0.5</v>
      </c>
      <c r="H3" s="1"/>
      <c r="I3" s="4"/>
    </row>
    <row r="4" spans="1:9" x14ac:dyDescent="0.25">
      <c r="A4" s="5" t="s">
        <v>11</v>
      </c>
      <c r="B4" s="1">
        <v>1</v>
      </c>
      <c r="C4" s="1"/>
      <c r="D4" s="1"/>
      <c r="E4" s="1"/>
      <c r="F4" s="1"/>
      <c r="G4" s="1"/>
      <c r="H4" s="1"/>
      <c r="I4" s="1">
        <v>1</v>
      </c>
    </row>
    <row r="5" spans="1:9" x14ac:dyDescent="0.25">
      <c r="A5" s="5" t="s">
        <v>14</v>
      </c>
      <c r="B5" s="1">
        <v>1</v>
      </c>
      <c r="C5" s="1">
        <v>0.5</v>
      </c>
      <c r="D5" s="1"/>
      <c r="E5" s="1"/>
      <c r="F5" s="1"/>
      <c r="G5" s="1"/>
      <c r="H5" s="1">
        <v>0.5</v>
      </c>
      <c r="I5" s="1"/>
    </row>
    <row r="6" spans="1:9" x14ac:dyDescent="0.25">
      <c r="A6" s="5" t="s">
        <v>12</v>
      </c>
      <c r="B6" s="1">
        <v>1</v>
      </c>
      <c r="C6" s="1"/>
      <c r="D6" s="1"/>
      <c r="E6" s="1"/>
      <c r="F6" s="1"/>
      <c r="G6" s="1"/>
      <c r="I6" s="1">
        <v>1</v>
      </c>
    </row>
    <row r="7" spans="1:9" x14ac:dyDescent="0.25">
      <c r="A7" s="2" t="s">
        <v>8</v>
      </c>
      <c r="B7" s="3">
        <f>SUM($B$2:$B$6)</f>
        <v>9.5</v>
      </c>
      <c r="C7" s="3">
        <f>IF(SUM(C2:C6)&gt;0,B7-SUM(C2:C6),"")</f>
        <v>9</v>
      </c>
      <c r="D7" s="3">
        <f>IF(SUM(D2:D6)&gt;0,C7-SUM(D2:D6),"")</f>
        <v>8</v>
      </c>
      <c r="E7" s="3">
        <f>IF(SUM(E2:E6)&gt;0,D7-SUM(E2:E6),"")</f>
        <v>6</v>
      </c>
      <c r="F7" s="3">
        <f>IF(SUM(F2:F6)&gt;0,E7-SUM(F2:F6),"")</f>
        <v>4</v>
      </c>
      <c r="G7" s="3">
        <f>IF(SUM(G2:G6)&gt;0,F7-SUM(G2:G6),"")</f>
        <v>3.5</v>
      </c>
      <c r="H7" s="3">
        <f>IF(SUM(H2:H6)&gt;0,G7-SUM(H2:H6),"")</f>
        <v>3</v>
      </c>
      <c r="I7" s="3">
        <f>IF(SUM(I2:I6)&gt;0,H7-SUM(I2:I6),"")</f>
        <v>0</v>
      </c>
    </row>
    <row r="8" spans="1:9" x14ac:dyDescent="0.25">
      <c r="A8" s="2" t="s">
        <v>9</v>
      </c>
      <c r="B8" s="3">
        <f>SUM($B$2:$B$6)</f>
        <v>9.5</v>
      </c>
      <c r="C8" s="3">
        <f>B8-($B$8/COUNTA($C$1:$I$1))</f>
        <v>8.1428571428571423</v>
      </c>
      <c r="D8" s="3">
        <f>C8-($B$8/COUNTA($C$1:$I$1))</f>
        <v>6.7857142857142847</v>
      </c>
      <c r="E8" s="3">
        <f>D8-($B$8/COUNTA($C$1:$I$1))</f>
        <v>5.428571428571427</v>
      </c>
      <c r="F8" s="3">
        <f>E8-($B$8/COUNTA($C$1:$I$1))</f>
        <v>4.0714285714285694</v>
      </c>
      <c r="G8" s="3">
        <f>F8-($B$8/COUNTA($C$1:$I$1))</f>
        <v>2.7142857142857122</v>
      </c>
      <c r="H8" s="3">
        <f>G8-($B$8/COUNTA($C$1:$I$1))</f>
        <v>1.357142857142855</v>
      </c>
      <c r="I8" s="3">
        <f>H8-($B$8/COUNTA($C$1:$I$1))</f>
        <v>-2.2204460492503131E-15</v>
      </c>
    </row>
    <row r="10" spans="1:9" x14ac:dyDescent="0.25">
      <c r="D10">
        <f ca="1">OFFSET($C$7:C7,0,COUNTA(D7:I7),1,1)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JUAN</cp:lastModifiedBy>
  <cp:lastPrinted>2016-06-19T15:56:58Z</cp:lastPrinted>
  <dcterms:created xsi:type="dcterms:W3CDTF">2016-06-19T15:11:06Z</dcterms:created>
  <dcterms:modified xsi:type="dcterms:W3CDTF">2020-05-18T16:01:27Z</dcterms:modified>
</cp:coreProperties>
</file>